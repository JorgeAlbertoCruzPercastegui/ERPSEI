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cruz\Downloads\"/>
    </mc:Choice>
  </mc:AlternateContent>
  <xr:revisionPtr revIDLastSave="0" documentId="13_ncr:1_{37A5E705-1B43-4B45-909F-3CE5F0CDA0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Semanal" sheetId="1" r:id="rId1"/>
    <sheet name="Resumen Ejecutiv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D20" i="1"/>
  <c r="B14" i="2"/>
  <c r="C12" i="2" s="1"/>
  <c r="E9" i="1"/>
  <c r="C9" i="2" l="1"/>
  <c r="C10" i="2"/>
  <c r="C8" i="2"/>
  <c r="C13" i="2"/>
  <c r="C11" i="2"/>
  <c r="E13" i="1"/>
  <c r="E10" i="1"/>
  <c r="E16" i="1"/>
  <c r="E11" i="1"/>
  <c r="E6" i="1"/>
  <c r="E5" i="1"/>
  <c r="E14" i="1"/>
  <c r="E17" i="1"/>
  <c r="E18" i="1"/>
  <c r="E7" i="1"/>
  <c r="E8" i="1"/>
  <c r="E15" i="1"/>
  <c r="E12" i="1"/>
  <c r="C7" i="2"/>
  <c r="C14" i="2" l="1"/>
</calcChain>
</file>

<file path=xl/sharedStrings.xml><?xml version="1.0" encoding="utf-8"?>
<sst xmlns="http://schemas.openxmlformats.org/spreadsheetml/2006/main" count="64" uniqueCount="59">
  <si>
    <t>Matriz Semanal de Horas Invertidas – Desarrollo de Sistemas / TI</t>
  </si>
  <si>
    <t>Distribución propuesta de capacidad semanal sobre 40 horas efectivas</t>
  </si>
  <si>
    <t>#</t>
  </si>
  <si>
    <t>Actividad / Frente de trabajo</t>
  </si>
  <si>
    <t>Descripción técnica de actividades</t>
  </si>
  <si>
    <t>Horas semanales</t>
  </si>
  <si>
    <t>% de dedicación</t>
  </si>
  <si>
    <t>Análisis de nuevos requerimientos</t>
  </si>
  <si>
    <t>Levantamiento y análisis funcional/técnico, revisión de historias de usuario, definición de alcance, estimación, validación de impactos y propuesta de solución.</t>
  </si>
  <si>
    <t>Desarrollo de nuevos módulos de Intranet</t>
  </si>
  <si>
    <t>Diseño, desarrollo e integración de nuevos módulos y funcionalidades de la Intranet. Incluye arquitectura MVC/Razor, lógica de negocio, EF Core, base de datos, permisos, validaciones, UI/UX, pruebas y evolución de módulos como Compliance, Mesa de Ayuda e integraciones con Empresas.</t>
  </si>
  <si>
    <t>Mantenimiento y despliegues de Intranet / aplicaciones</t>
  </si>
  <si>
    <t>Correcciones, mantenimiento evolutivo, publicación en VPS, respaldos, migraciones de BD, validación de servicios, logs, certificados SSL y revisión post-deployment.</t>
  </si>
  <si>
    <t>Mantenimiento del Convertidor Bancario</t>
  </si>
  <si>
    <t>Análisis y ajuste de reglas para procesamiento PDF/Excel, mantenimiento de formatos bancarios, validación de movimientos, corrección de incidencias y pruebas.</t>
  </si>
  <si>
    <t>Análisis y reportes de Ciberseguridad</t>
  </si>
  <si>
    <t>Revisión de Bitdefender, Sophos y SonicWall; análisis de endpoints, amenazas, eventos, excepciones, métricas, riesgos y elaboración de reportes ejecutivos/técnicos.</t>
  </si>
  <si>
    <t>Análisis de Garante Commercial</t>
  </si>
  <si>
    <t>Análisis técnico de la plataforma, mantenimiento de VPS/AWS, aplicación web, DNS, SSL, seguridad, infraestructura, servicios y evolución funcional.</t>
  </si>
  <si>
    <t>Configuración y seguimiento VPN Piloto / Zero Trust</t>
  </si>
  <si>
    <t>Administración y pruebas de SonicWall Cloud Secure Edge, Tunnel Policies, usuarios piloto, conectividad RDP, RBAC, postura de dispositivos, auditoría y validación de mínimo privilegio.</t>
  </si>
  <si>
    <t>Administración de infraestructura y servidores</t>
  </si>
  <si>
    <t>Supervisión de VPS Linux/Windows, servicios .NET, Nginx, SQL Server/MySQL, certificados, almacenamiento, respaldos, conectividad y troubleshooting.</t>
  </si>
  <si>
    <t>Base de datos y soporte técnico a aplicaciones</t>
  </si>
  <si>
    <t>Consultas SQL, análisis de información, corrección de registros, validación de tablas, migraciones, integridad de datos y resolución de incidencias.</t>
  </si>
  <si>
    <t>Documentación técnica, matrices y seguimiento</t>
  </si>
  <si>
    <t>Elaboración de documentación, matrices RACI/permisos, roadmaps, evidencias, alcance técnico, documentación de pruebas y comunicación de cambios.</t>
  </si>
  <si>
    <t>Investigación, evaluación y mejora tecnológica</t>
  </si>
  <si>
    <t>Evaluación de tecnologías, AWS, seguridad, arquitectura, automatización, buenas prácticas y propuestas de mejora para soluciones actuales y futuras.</t>
  </si>
  <si>
    <t>Daily / seguimiento operativo</t>
  </si>
  <si>
    <t>Reunión diaria de seguimiento para revisión de avances, bloqueos, prioridades y actividades del día. 15 minutos de lunes a viernes.</t>
  </si>
  <si>
    <t>Reuniones de seguimiento / coordinación</t>
  </si>
  <si>
    <t>Reuniones semanales para revisión de proyectos, requerimientos, avances, entregables, incidencias y coordinación con las áreas involucradas. 30 minutos, dos veces por semana.</t>
  </si>
  <si>
    <t>Capacitación – Curso de Excel</t>
  </si>
  <si>
    <t>Capacitación y desarrollo de habilidades mediante curso de Excel, con sesiones de una hora de lunes a jueves.</t>
  </si>
  <si>
    <t>TOTAL SEMANAL</t>
  </si>
  <si>
    <t>Resumen Ejecutivo de Distribución Semanal</t>
  </si>
  <si>
    <t>Frentes de trabajo</t>
  </si>
  <si>
    <t>Jornada considerada</t>
  </si>
  <si>
    <t>Lunes a viernes</t>
  </si>
  <si>
    <t>Capacidad técnica/operativa</t>
  </si>
  <si>
    <t>Área / Responsabilidad</t>
  </si>
  <si>
    <t>Horas</t>
  </si>
  <si>
    <t>% semanal</t>
  </si>
  <si>
    <t>Análisis de requerimientos + Convertidor + Garante</t>
  </si>
  <si>
    <t>Ciberseguridad + VPN / Zero Trust</t>
  </si>
  <si>
    <t>Infraestructura, despliegues y base de datos</t>
  </si>
  <si>
    <t>Documentación e investigación</t>
  </si>
  <si>
    <t>Reuniones / Daily</t>
  </si>
  <si>
    <t>TOTAL</t>
  </si>
  <si>
    <t>Indicador</t>
  </si>
  <si>
    <t>Lectura gerencial</t>
  </si>
  <si>
    <t>Desarrollo de Intranet</t>
  </si>
  <si>
    <t>Principal frente de trabajo</t>
  </si>
  <si>
    <t>Reuniones + capacitación</t>
  </si>
  <si>
    <t>Capacidad semanal ya comprometida</t>
  </si>
  <si>
    <t>Nota gerencial: El desarrollo de nuevos módulos de Intranet se establece como el principal frente de trabajo con 16 horas semanales (32.99% de la carga semanal total de 48.50 horas), reflejando la carga reciente asociada a Compliance, Mesa de Ayuda, integraciones, permisos, UI y evolución funcional.</t>
  </si>
  <si>
    <t>Otras actividades técnicas / operativas</t>
  </si>
  <si>
    <t>Soporte transversal a desarrollo, infraestructura, seguridad y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</si>
</sst>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5B4A00"/>
      <name val="Carlito"/>
    </font>
    <font>
      <sz val="11"/>
      <color rgb="FF1F1F1F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4472C4"/>
      </patternFill>
    </fill>
    <fill>
      <patternFill patternType="solid">
        <fgColor rgb="FFF7F9FC"/>
      </patternFill>
    </fill>
    <fill>
      <patternFill patternType="solid">
        <fgColor rgb="FFE2F0D9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3F6FA"/>
      </patternFill>
    </fill>
    <fill>
      <patternFill patternType="solid">
        <fgColor rgb="FF17365D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4" fillId="4" borderId="0" xfId="0" applyFont="1" applyFill="1"/>
    <xf numFmtId="0" fontId="0" fillId="0" borderId="0" xfId="0" applyAlignment="1">
      <alignment wrapText="1"/>
    </xf>
    <xf numFmtId="0" fontId="3" fillId="5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top"/>
    </xf>
    <xf numFmtId="10" fontId="0" fillId="0" borderId="0" xfId="0" applyNumberFormat="1" applyAlignment="1">
      <alignment horizontal="center"/>
    </xf>
    <xf numFmtId="0" fontId="0" fillId="6" borderId="0" xfId="0" applyFill="1" applyAlignment="1">
      <alignment horizontal="center" vertical="top"/>
    </xf>
    <xf numFmtId="0" fontId="0" fillId="6" borderId="0" xfId="0" applyFill="1" applyAlignment="1">
      <alignment vertical="top" wrapText="1"/>
    </xf>
    <xf numFmtId="2" fontId="0" fillId="6" borderId="0" xfId="0" applyNumberFormat="1" applyFill="1" applyAlignment="1">
      <alignment horizontal="center" vertical="top"/>
    </xf>
    <xf numFmtId="10" fontId="0" fillId="6" borderId="0" xfId="0" applyNumberFormat="1" applyFill="1" applyAlignment="1">
      <alignment horizontal="center" vertical="top"/>
    </xf>
    <xf numFmtId="0" fontId="0" fillId="7" borderId="0" xfId="0" applyFill="1" applyAlignment="1">
      <alignment horizontal="center" vertical="top"/>
    </xf>
    <xf numFmtId="10" fontId="0" fillId="7" borderId="0" xfId="0" applyNumberFormat="1" applyFill="1" applyAlignment="1">
      <alignment horizontal="center" vertical="top"/>
    </xf>
    <xf numFmtId="0" fontId="4" fillId="8" borderId="0" xfId="0" applyFont="1" applyFill="1"/>
    <xf numFmtId="2" fontId="4" fillId="8" borderId="0" xfId="0" applyNumberFormat="1" applyFont="1" applyFill="1" applyAlignment="1">
      <alignment horizontal="center"/>
    </xf>
    <xf numFmtId="10" fontId="4" fillId="8" borderId="0" xfId="0" applyNumberFormat="1" applyFont="1" applyFill="1" applyAlignment="1">
      <alignment horizontal="center"/>
    </xf>
    <xf numFmtId="2" fontId="4" fillId="8" borderId="0" xfId="0" applyNumberFormat="1" applyFont="1" applyFill="1" applyAlignment="1">
      <alignment horizontal="center" vertical="center"/>
    </xf>
    <xf numFmtId="10" fontId="4" fillId="8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right" vertical="center"/>
    </xf>
    <xf numFmtId="0" fontId="4" fillId="10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0" fontId="4" fillId="4" borderId="0" xfId="0" applyNumberFormat="1" applyFont="1" applyFill="1" applyAlignment="1">
      <alignment horizontal="center"/>
    </xf>
    <xf numFmtId="2" fontId="4" fillId="4" borderId="0" xfId="0" applyNumberFormat="1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10" fontId="0" fillId="0" borderId="0" xfId="0" applyNumberFormat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9" borderId="0" xfId="0" applyFont="1" applyFill="1" applyAlignment="1">
      <alignment vertical="center" wrapText="1"/>
    </xf>
    <xf numFmtId="0" fontId="6" fillId="7" borderId="0" xfId="0" applyFont="1" applyFill="1" applyAlignment="1">
      <alignment vertical="top" wrapText="1"/>
    </xf>
    <xf numFmtId="2" fontId="6" fillId="7" borderId="0" xfId="0" applyNumberFormat="1" applyFont="1" applyFill="1" applyAlignment="1">
      <alignment horizontal="center" vertical="top"/>
    </xf>
    <xf numFmtId="0" fontId="0" fillId="13" borderId="0" xfId="0" applyFont="1" applyFill="1" applyAlignment="1">
      <alignment horizontal="center" vertical="top"/>
    </xf>
    <xf numFmtId="0" fontId="0" fillId="13" borderId="0" xfId="0" applyFont="1" applyFill="1" applyAlignment="1">
      <alignment horizontal="left" vertical="top" wrapText="1"/>
    </xf>
    <xf numFmtId="2" fontId="0" fillId="13" borderId="0" xfId="0" applyNumberFormat="1" applyFont="1" applyFill="1" applyAlignment="1">
      <alignment horizontal="center" vertical="top"/>
    </xf>
    <xf numFmtId="10" fontId="0" fillId="13" borderId="0" xfId="0" applyNumberFormat="1" applyFont="1" applyFill="1" applyAlignment="1">
      <alignment horizontal="center" vertical="top"/>
    </xf>
    <xf numFmtId="0" fontId="0" fillId="13" borderId="0" xfId="0" applyFill="1" applyAlignment="1">
      <alignment horizontal="center" vertical="top"/>
    </xf>
    <xf numFmtId="0" fontId="0" fillId="13" borderId="0" xfId="0" applyFill="1" applyAlignment="1">
      <alignment vertical="top" wrapText="1"/>
    </xf>
    <xf numFmtId="2" fontId="0" fillId="13" borderId="0" xfId="0" applyNumberFormat="1" applyFill="1" applyAlignment="1">
      <alignment horizontal="center" vertical="top"/>
    </xf>
    <xf numFmtId="10" fontId="0" fillId="13" borderId="0" xfId="0" applyNumberFormat="1" applyFill="1" applyAlignment="1">
      <alignment horizontal="center" vertical="top"/>
    </xf>
    <xf numFmtId="0" fontId="0" fillId="0" borderId="0" xfId="0" applyFill="1" applyAlignment="1">
      <alignment horizontal="center" vertical="top"/>
    </xf>
    <xf numFmtId="0" fontId="0" fillId="0" borderId="0" xfId="0" applyFill="1" applyAlignment="1">
      <alignment vertical="top" wrapText="1"/>
    </xf>
    <xf numFmtId="2" fontId="0" fillId="0" borderId="0" xfId="0" applyNumberFormat="1" applyFill="1" applyAlignment="1">
      <alignment horizontal="center" vertical="top"/>
    </xf>
    <xf numFmtId="10" fontId="0" fillId="0" borderId="0" xfId="0" applyNumberForma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 sz="1050" b="1"/>
              <a:t>Distribución semanal de horas por responsabilidad</a:t>
            </a:r>
          </a:p>
        </c:rich>
      </c:tx>
      <c:layout>
        <c:manualLayout>
          <c:xMode val="edge"/>
          <c:yMode val="edge"/>
          <c:x val="0.28913930147936051"/>
          <c:y val="4.2625745950554135E-2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Horas</c:v>
          </c:tx>
          <c:invertIfNegative val="1"/>
          <c:cat>
            <c:strRef>
              <c:f>'Resumen Ejecutivo'!$A$7:$A$13</c:f>
              <c:strCache>
                <c:ptCount val="7"/>
                <c:pt idx="0">
                  <c:v>Desarrollo de nuevos módulos de Intranet</c:v>
                </c:pt>
                <c:pt idx="1">
                  <c:v>Análisis de requerimientos + Convertidor + Garante</c:v>
                </c:pt>
                <c:pt idx="2">
                  <c:v>Ciberseguridad + VPN / Zero Trust</c:v>
                </c:pt>
                <c:pt idx="3">
                  <c:v>Infraestructura, despliegues y base de datos</c:v>
                </c:pt>
                <c:pt idx="4">
                  <c:v>Documentación e investigación</c:v>
                </c:pt>
                <c:pt idx="5">
                  <c:v>Reuniones / Daily</c:v>
                </c:pt>
                <c:pt idx="6">
                  <c:v>Capacitación – Curso de Excel</c:v>
                </c:pt>
              </c:strCache>
            </c:strRef>
          </c:cat>
          <c:val>
            <c:numRef>
              <c:f>'Resumen Ejecutivo'!$B$7:$B$13</c:f>
              <c:numCache>
                <c:formatCode>0.00</c:formatCode>
                <c:ptCount val="7"/>
                <c:pt idx="0">
                  <c:v>25</c:v>
                </c:pt>
                <c:pt idx="1">
                  <c:v>5.5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0-4EF0-B472-AB7A340DF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MatrizHorasTable" displayName="MatrizHorasTable" ref="A4:E19" totalsRowShown="0">
  <autoFilter ref="A4:E19" xr:uid="{00000000-000C-0000-FFFF-FFFF00000000}"/>
  <sortState xmlns:xlrd2="http://schemas.microsoft.com/office/spreadsheetml/2017/richdata2" ref="A5:E19">
    <sortCondition descending="1" ref="D4:D19"/>
  </sortState>
  <tableColumns count="5">
    <tableColumn id="1" xr3:uid="{00000000-0010-0000-0000-000001000000}" name="#"/>
    <tableColumn id="2" xr3:uid="{00000000-0010-0000-0000-000002000000}" name="Actividad / Frente de trabajo"/>
    <tableColumn id="3" xr3:uid="{00000000-0010-0000-0000-000003000000}" name="Descripción técnica de actividades"/>
    <tableColumn id="4" xr3:uid="{00000000-0010-0000-0000-000004000000}" name="Horas semanales"/>
    <tableColumn id="5" xr3:uid="{00000000-0010-0000-0000-000005000000}" name="% de dedic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ResumenAreasTable" displayName="ResumenAreasTable" ref="A6:C13" totalsRowShown="0">
  <tableColumns count="3">
    <tableColumn id="1" xr3:uid="{00000000-0010-0000-0100-000001000000}" name="Área / Responsabilidad"/>
    <tableColumn id="2" xr3:uid="{00000000-0010-0000-0100-000002000000}" name="Horas"/>
    <tableColumn id="3" xr3:uid="{00000000-0010-0000-0100-000003000000}" name="% sema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workbookViewId="0">
      <selection activeCell="A2" sqref="A2:E2"/>
    </sheetView>
  </sheetViews>
  <sheetFormatPr baseColWidth="10" defaultColWidth="8.796875" defaultRowHeight="13.8"/>
  <cols>
    <col min="1" max="1" width="6" customWidth="1"/>
    <col min="2" max="2" width="36" customWidth="1"/>
    <col min="3" max="3" width="66" customWidth="1"/>
    <col min="4" max="5" width="16" customWidth="1"/>
  </cols>
  <sheetData>
    <row r="1" spans="1:5" ht="22.35" customHeight="1">
      <c r="A1" s="31" t="s">
        <v>0</v>
      </c>
      <c r="B1" s="31"/>
      <c r="C1" s="31"/>
      <c r="D1" s="31"/>
      <c r="E1" s="31"/>
    </row>
    <row r="2" spans="1:5" ht="14.4">
      <c r="A2" s="32" t="s">
        <v>1</v>
      </c>
      <c r="B2" s="32"/>
      <c r="C2" s="32"/>
      <c r="D2" s="32"/>
      <c r="E2" s="32"/>
    </row>
    <row r="4" spans="1:5" ht="27.6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</row>
    <row r="5" spans="1:5" ht="43.2" customHeight="1">
      <c r="A5" s="15">
        <v>2</v>
      </c>
      <c r="B5" s="34" t="s">
        <v>9</v>
      </c>
      <c r="C5" s="34" t="s">
        <v>10</v>
      </c>
      <c r="D5" s="35">
        <v>25</v>
      </c>
      <c r="E5" s="16">
        <f>D5/$D$20</f>
        <v>0.51546391752577314</v>
      </c>
    </row>
    <row r="6" spans="1:5" ht="43.2" customHeight="1">
      <c r="A6" s="44">
        <v>14</v>
      </c>
      <c r="B6" s="45" t="s">
        <v>33</v>
      </c>
      <c r="C6" s="45" t="s">
        <v>34</v>
      </c>
      <c r="D6" s="46">
        <v>4</v>
      </c>
      <c r="E6" s="47">
        <f>D6/$D$20</f>
        <v>8.247422680412371E-2</v>
      </c>
    </row>
    <row r="7" spans="1:5" ht="43.2" customHeight="1">
      <c r="A7" s="2">
        <v>1</v>
      </c>
      <c r="B7" s="1" t="s">
        <v>7</v>
      </c>
      <c r="C7" s="1" t="s">
        <v>8</v>
      </c>
      <c r="D7" s="7">
        <v>3.5</v>
      </c>
      <c r="E7" s="9">
        <f>D7/$D$20</f>
        <v>7.2164948453608241E-2</v>
      </c>
    </row>
    <row r="8" spans="1:5" ht="43.2" customHeight="1">
      <c r="A8" s="2">
        <v>3</v>
      </c>
      <c r="B8" s="1" t="s">
        <v>11</v>
      </c>
      <c r="C8" s="1" t="s">
        <v>12</v>
      </c>
      <c r="D8" s="7">
        <v>3</v>
      </c>
      <c r="E8" s="9">
        <f>D8/$D$20</f>
        <v>6.1855670103092786E-2</v>
      </c>
    </row>
    <row r="9" spans="1:5" ht="43.2" customHeight="1">
      <c r="A9" s="2">
        <v>5</v>
      </c>
      <c r="B9" s="1" t="s">
        <v>15</v>
      </c>
      <c r="C9" s="1" t="s">
        <v>16</v>
      </c>
      <c r="D9" s="7">
        <v>2</v>
      </c>
      <c r="E9" s="9">
        <f>D9/$D$20</f>
        <v>4.1237113402061855E-2</v>
      </c>
    </row>
    <row r="10" spans="1:5" ht="43.2" customHeight="1">
      <c r="A10" s="2">
        <v>7</v>
      </c>
      <c r="B10" s="1" t="s">
        <v>19</v>
      </c>
      <c r="C10" s="1" t="s">
        <v>20</v>
      </c>
      <c r="D10" s="7">
        <v>2</v>
      </c>
      <c r="E10" s="9">
        <f>D10/$D$20</f>
        <v>4.1237113402061855E-2</v>
      </c>
    </row>
    <row r="11" spans="1:5" ht="43.2" customHeight="1">
      <c r="A11" s="36">
        <v>12</v>
      </c>
      <c r="B11" s="37" t="s">
        <v>29</v>
      </c>
      <c r="C11" s="37" t="s">
        <v>30</v>
      </c>
      <c r="D11" s="38">
        <v>2</v>
      </c>
      <c r="E11" s="39">
        <f>D11/$D$20</f>
        <v>4.1237113402061855E-2</v>
      </c>
    </row>
    <row r="12" spans="1:5" ht="43.2" customHeight="1">
      <c r="A12" s="11">
        <v>4</v>
      </c>
      <c r="B12" s="12" t="s">
        <v>13</v>
      </c>
      <c r="C12" s="12" t="s">
        <v>14</v>
      </c>
      <c r="D12" s="13">
        <v>1</v>
      </c>
      <c r="E12" s="14">
        <f>D12/$D$20</f>
        <v>2.0618556701030927E-2</v>
      </c>
    </row>
    <row r="13" spans="1:5" ht="43.2" customHeight="1">
      <c r="A13" s="40">
        <v>6</v>
      </c>
      <c r="B13" s="41" t="s">
        <v>17</v>
      </c>
      <c r="C13" s="41" t="s">
        <v>18</v>
      </c>
      <c r="D13" s="42">
        <v>1</v>
      </c>
      <c r="E13" s="43">
        <f>D13/$D$20</f>
        <v>2.0618556701030927E-2</v>
      </c>
    </row>
    <row r="14" spans="1:5" ht="43.2" customHeight="1">
      <c r="A14" s="11">
        <v>8</v>
      </c>
      <c r="B14" s="12" t="s">
        <v>21</v>
      </c>
      <c r="C14" s="12" t="s">
        <v>22</v>
      </c>
      <c r="D14" s="13">
        <v>1</v>
      </c>
      <c r="E14" s="14">
        <f>D14/$D$20</f>
        <v>2.0618556701030927E-2</v>
      </c>
    </row>
    <row r="15" spans="1:5" ht="43.2" customHeight="1">
      <c r="A15" s="2">
        <v>9</v>
      </c>
      <c r="B15" s="1" t="s">
        <v>23</v>
      </c>
      <c r="C15" s="1" t="s">
        <v>24</v>
      </c>
      <c r="D15" s="7">
        <v>1</v>
      </c>
      <c r="E15" s="9">
        <f>D15/$D$20</f>
        <v>2.0618556701030927E-2</v>
      </c>
    </row>
    <row r="16" spans="1:5" ht="43.2" customHeight="1">
      <c r="A16" s="11">
        <v>10</v>
      </c>
      <c r="B16" s="12" t="s">
        <v>25</v>
      </c>
      <c r="C16" s="12" t="s">
        <v>26</v>
      </c>
      <c r="D16" s="13">
        <v>1</v>
      </c>
      <c r="E16" s="14">
        <f>D16/$D$20</f>
        <v>2.0618556701030927E-2</v>
      </c>
    </row>
    <row r="17" spans="1:5" ht="43.2" customHeight="1">
      <c r="A17" s="2">
        <v>11</v>
      </c>
      <c r="B17" s="1" t="s">
        <v>27</v>
      </c>
      <c r="C17" s="1" t="s">
        <v>28</v>
      </c>
      <c r="D17" s="7">
        <v>1</v>
      </c>
      <c r="E17" s="9">
        <f>D17/$D$20</f>
        <v>2.0618556701030927E-2</v>
      </c>
    </row>
    <row r="18" spans="1:5" ht="43.2" customHeight="1">
      <c r="A18" s="2">
        <v>13</v>
      </c>
      <c r="B18" s="1" t="s">
        <v>31</v>
      </c>
      <c r="C18" s="1" t="s">
        <v>32</v>
      </c>
      <c r="D18" s="7">
        <v>1</v>
      </c>
      <c r="E18" s="9">
        <f>D18/$D$20</f>
        <v>2.0618556701030927E-2</v>
      </c>
    </row>
    <row r="20" spans="1:5">
      <c r="A20" s="22" t="s">
        <v>35</v>
      </c>
      <c r="B20" s="22"/>
      <c r="C20" s="22"/>
      <c r="D20" s="20">
        <f>SUM(D5:D19)</f>
        <v>48.5</v>
      </c>
      <c r="E20" s="21">
        <f>SUM(E5:E19)</f>
        <v>1</v>
      </c>
    </row>
    <row r="22" spans="1:5" ht="33.6" customHeight="1">
      <c r="A22" s="33" t="s">
        <v>56</v>
      </c>
      <c r="B22" s="33"/>
      <c r="C22" s="33"/>
      <c r="D22" s="33"/>
      <c r="E22" s="33"/>
    </row>
  </sheetData>
  <mergeCells count="3">
    <mergeCell ref="A1:E1"/>
    <mergeCell ref="A2:E2"/>
    <mergeCell ref="A22:E22"/>
  </mergeCells>
  <conditionalFormatting sqref="D7:D16 D5">
    <cfRule type="dataBar" priority="7">
      <dataBar>
        <cfvo type="min"/>
        <cfvo type="max"/>
        <color rgb="FF4472C4"/>
      </dataBar>
    </cfRule>
    <cfRule type="dataBar" priority="8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{B9BFC885-197C-CEB4-5040-E0760F0E2514}</x14:id>
        </ext>
      </extLst>
    </cfRule>
  </conditionalFormatting>
  <conditionalFormatting sqref="D5:D18">
    <cfRule type="dataBar" priority="15">
      <dataBar>
        <cfvo type="min"/>
        <cfvo type="max"/>
        <color rgb="FF4472C4"/>
      </dataBar>
    </cfRule>
    <cfRule type="dataBar" priority="16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{D48A5554-81B7-B2A2-A55E-FC4D4B699CD4}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BFC885-197C-CEB4-5040-E0760F0E2514}">
            <x14:dataBar>
              <x14:cfvo type="min"/>
              <x14:cfvo type="max"/>
              <x14:negativeFillColor auto="1"/>
              <x14:axisColor auto="1"/>
            </x14:dataBar>
          </x14:cfRule>
          <xm:sqref>D7:D16 D5</xm:sqref>
        </x14:conditionalFormatting>
        <x14:conditionalFormatting xmlns:xm="http://schemas.microsoft.com/office/excel/2006/main">
          <x14:cfRule type="dataBar" id="{D48A5554-81B7-B2A2-A55E-FC4D4B699CD4}">
            <x14:dataBar>
              <x14:cfvo type="min"/>
              <x14:cfvo type="max"/>
              <x14:negativeFillColor auto="1"/>
              <x14:axisColor auto="1"/>
            </x14:dataBar>
          </x14:cfRule>
          <xm:sqref>D5:D18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zoomScale="70" zoomScaleNormal="70" workbookViewId="0">
      <selection activeCell="F26" sqref="F26"/>
    </sheetView>
  </sheetViews>
  <sheetFormatPr baseColWidth="10" defaultColWidth="8.796875" defaultRowHeight="13.8"/>
  <cols>
    <col min="1" max="1" width="42" customWidth="1"/>
    <col min="2" max="2" width="14" customWidth="1"/>
    <col min="3" max="3" width="25.5" customWidth="1"/>
    <col min="4" max="4" width="32" customWidth="1"/>
  </cols>
  <sheetData>
    <row r="1" spans="1:4" ht="17.399999999999999">
      <c r="A1" s="31" t="s">
        <v>36</v>
      </c>
      <c r="B1" s="31"/>
      <c r="C1" s="31"/>
      <c r="D1" s="31"/>
    </row>
    <row r="3" spans="1:4">
      <c r="A3" s="23" t="s">
        <v>5</v>
      </c>
      <c r="B3" s="23">
        <v>48.5</v>
      </c>
      <c r="C3" s="23" t="s">
        <v>37</v>
      </c>
      <c r="D3" s="23">
        <v>14</v>
      </c>
    </row>
    <row r="4" spans="1:4">
      <c r="A4" s="24" t="s">
        <v>38</v>
      </c>
      <c r="B4" s="24" t="s">
        <v>39</v>
      </c>
      <c r="C4" s="24" t="s">
        <v>40</v>
      </c>
      <c r="D4" s="24">
        <v>41.5</v>
      </c>
    </row>
    <row r="6" spans="1:4">
      <c r="A6" s="25" t="s">
        <v>41</v>
      </c>
      <c r="B6" s="25" t="s">
        <v>42</v>
      </c>
      <c r="C6" s="25" t="s">
        <v>43</v>
      </c>
    </row>
    <row r="7" spans="1:4">
      <c r="A7" s="5" t="s">
        <v>9</v>
      </c>
      <c r="B7" s="8">
        <v>25</v>
      </c>
      <c r="C7" s="10">
        <f t="shared" ref="C7:C13" si="0">B7/$B$14</f>
        <v>0.51546391752577314</v>
      </c>
    </row>
    <row r="8" spans="1:4" ht="27.6">
      <c r="A8" s="5" t="s">
        <v>44</v>
      </c>
      <c r="B8" s="8">
        <v>5.5</v>
      </c>
      <c r="C8" s="10">
        <f t="shared" si="0"/>
        <v>0.1134020618556701</v>
      </c>
    </row>
    <row r="9" spans="1:4">
      <c r="A9" s="5" t="s">
        <v>45</v>
      </c>
      <c r="B9" s="8">
        <v>4</v>
      </c>
      <c r="C9" s="10">
        <f t="shared" si="0"/>
        <v>8.247422680412371E-2</v>
      </c>
    </row>
    <row r="10" spans="1:4">
      <c r="A10" s="5" t="s">
        <v>46</v>
      </c>
      <c r="B10" s="8">
        <v>5</v>
      </c>
      <c r="C10" s="10">
        <f t="shared" si="0"/>
        <v>0.10309278350515463</v>
      </c>
    </row>
    <row r="11" spans="1:4">
      <c r="A11" s="5" t="s">
        <v>47</v>
      </c>
      <c r="B11" s="8">
        <v>2</v>
      </c>
      <c r="C11" s="10">
        <f t="shared" si="0"/>
        <v>4.1237113402061855E-2</v>
      </c>
    </row>
    <row r="12" spans="1:4">
      <c r="A12" s="4" t="s">
        <v>48</v>
      </c>
      <c r="B12" s="27">
        <v>3</v>
      </c>
      <c r="C12" s="26">
        <f t="shared" si="0"/>
        <v>6.1855670103092786E-2</v>
      </c>
    </row>
    <row r="13" spans="1:4">
      <c r="A13" t="s">
        <v>33</v>
      </c>
      <c r="B13" s="8">
        <v>4</v>
      </c>
      <c r="C13" s="10">
        <f t="shared" si="0"/>
        <v>8.247422680412371E-2</v>
      </c>
    </row>
    <row r="14" spans="1:4">
      <c r="A14" s="17" t="s">
        <v>49</v>
      </c>
      <c r="B14" s="18">
        <f>SUM(B7:B13)</f>
        <v>48.5</v>
      </c>
      <c r="C14" s="19">
        <f>SUM(C7:C13)</f>
        <v>1</v>
      </c>
    </row>
    <row r="16" spans="1:4">
      <c r="A16" s="28" t="s">
        <v>50</v>
      </c>
      <c r="B16" s="28" t="s">
        <v>42</v>
      </c>
      <c r="C16" s="28" t="s">
        <v>43</v>
      </c>
      <c r="D16" s="28" t="s">
        <v>51</v>
      </c>
    </row>
    <row r="17" spans="1:4">
      <c r="A17" s="5" t="s">
        <v>52</v>
      </c>
      <c r="B17" s="29">
        <v>25</v>
      </c>
      <c r="C17" s="30">
        <v>0.51500000000000001</v>
      </c>
      <c r="D17" s="5" t="s">
        <v>53</v>
      </c>
    </row>
    <row r="18" spans="1:4">
      <c r="A18" s="5" t="s">
        <v>54</v>
      </c>
      <c r="B18" s="29">
        <v>7</v>
      </c>
      <c r="C18" s="30">
        <v>0.14430000000000001</v>
      </c>
      <c r="D18" s="5" t="s">
        <v>55</v>
      </c>
    </row>
    <row r="19" spans="1:4" ht="27.6">
      <c r="A19" t="s">
        <v>57</v>
      </c>
      <c r="B19" s="3">
        <v>16.5</v>
      </c>
      <c r="C19" s="3">
        <v>34.020000000000003</v>
      </c>
      <c r="D19" s="5" t="s">
        <v>58</v>
      </c>
    </row>
  </sheetData>
  <mergeCells count="1">
    <mergeCell ref="A1:D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Semanal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Alberto Cruz Percastegui</cp:lastModifiedBy>
  <dcterms:modified xsi:type="dcterms:W3CDTF">2026-08-21T17:04:50Z</dcterms:modified>
</cp:coreProperties>
</file>